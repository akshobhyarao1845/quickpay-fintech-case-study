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Transactions" sheetId="1" state="visible" r:id="rId3"/>
    <sheet name="Cleaned Transactions" sheetId="2" state="visible" r:id="rId4"/>
    <sheet name="Exchange Rates" sheetId="3" state="visible" r:id="rId5"/>
    <sheet name="Merchant Master" sheetId="4" state="visible" r:id="rId6"/>
    <sheet name="Merchant Risk Summary" sheetId="5" state="visible" r:id="rId7"/>
    <sheet name="Summary KP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<sst xmlns="http://schemas.openxmlformats.org/spreadsheetml/2006/main" count="755" uniqueCount="213">
  <si>
    <t xml:space="preserve">transaction_id</t>
  </si>
  <si>
    <t xml:space="preserve">transaction_date</t>
  </si>
  <si>
    <t xml:space="preserve">merchant_name</t>
  </si>
  <si>
    <t xml:space="preserve">raw_amount</t>
  </si>
  <si>
    <t xml:space="preserve">currency</t>
  </si>
  <si>
    <t xml:space="preserve">status</t>
  </si>
  <si>
    <t xml:space="preserve">risk_score</t>
  </si>
  <si>
    <t xml:space="preserve">gateway_region</t>
  </si>
  <si>
    <t xml:space="preserve">user_id</t>
  </si>
  <si>
    <t xml:space="preserve">payment_method</t>
  </si>
  <si>
    <t xml:space="preserve">T001</t>
  </si>
  <si>
    <t xml:space="preserve">2026-03-01</t>
  </si>
  <si>
    <t xml:space="preserve"> alpha mart </t>
  </si>
  <si>
    <t xml:space="preserve">420000</t>
  </si>
  <si>
    <t xml:space="preserve">INR</t>
  </si>
  <si>
    <t xml:space="preserve">captured</t>
  </si>
  <si>
    <t xml:space="preserve">score:62</t>
  </si>
  <si>
    <t xml:space="preserve">APAC</t>
  </si>
  <si>
    <t xml:space="preserve">U001</t>
  </si>
  <si>
    <t xml:space="preserve">UPI</t>
  </si>
  <si>
    <t xml:space="preserve">T002</t>
  </si>
  <si>
    <t xml:space="preserve">ALPHA MART</t>
  </si>
  <si>
    <t xml:space="preserve">210000</t>
  </si>
  <si>
    <t xml:space="preserve">Captured </t>
  </si>
  <si>
    <t xml:space="preserve">55</t>
  </si>
  <si>
    <t xml:space="preserve">U002</t>
  </si>
  <si>
    <t xml:space="preserve">Card</t>
  </si>
  <si>
    <t xml:space="preserve">T003</t>
  </si>
  <si>
    <t xml:space="preserve">BETA STORES </t>
  </si>
  <si>
    <t xml:space="preserve">510000</t>
  </si>
  <si>
    <t xml:space="preserve"> CAPTURED</t>
  </si>
  <si>
    <t xml:space="preserve">71</t>
  </si>
  <si>
    <t xml:space="preserve"> APAC </t>
  </si>
  <si>
    <t xml:space="preserve">U003</t>
  </si>
  <si>
    <t xml:space="preserve">NetBanking</t>
  </si>
  <si>
    <t xml:space="preserve">T004</t>
  </si>
  <si>
    <t xml:space="preserve">2026-03-02</t>
  </si>
  <si>
    <t xml:space="preserve">Beta  Stores</t>
  </si>
  <si>
    <t xml:space="preserve">160000</t>
  </si>
  <si>
    <t xml:space="preserve"> failed e05 timeout </t>
  </si>
  <si>
    <t xml:space="preserve">68</t>
  </si>
  <si>
    <t xml:space="preserve">apac</t>
  </si>
  <si>
    <t xml:space="preserve">U004</t>
  </si>
  <si>
    <t xml:space="preserve">T005</t>
  </si>
  <si>
    <t xml:space="preserve">Alpha Mart</t>
  </si>
  <si>
    <t xml:space="preserve">390000</t>
  </si>
  <si>
    <t xml:space="preserve">58 </t>
  </si>
  <si>
    <t xml:space="preserve">T006</t>
  </si>
  <si>
    <t xml:space="preserve">275000</t>
  </si>
  <si>
    <t xml:space="preserve">score:64</t>
  </si>
  <si>
    <t xml:space="preserve">U005</t>
  </si>
  <si>
    <t xml:space="preserve">Wallet</t>
  </si>
  <si>
    <t xml:space="preserve">T007</t>
  </si>
  <si>
    <t xml:space="preserve">Alpha  Mart</t>
  </si>
  <si>
    <t xml:space="preserve">450000</t>
  </si>
  <si>
    <t xml:space="preserve">chargeback</t>
  </si>
  <si>
    <t xml:space="preserve">risk-83</t>
  </si>
  <si>
    <t xml:space="preserve">U006</t>
  </si>
  <si>
    <t xml:space="preserve">T008</t>
  </si>
  <si>
    <t xml:space="preserve">2026-03-03</t>
  </si>
  <si>
    <t xml:space="preserve">340000</t>
  </si>
  <si>
    <t xml:space="preserve">59 </t>
  </si>
  <si>
    <t xml:space="preserve">U007</t>
  </si>
  <si>
    <t xml:space="preserve">T009</t>
  </si>
  <si>
    <t xml:space="preserve">125000</t>
  </si>
  <si>
    <t xml:space="preserve">46</t>
  </si>
  <si>
    <t xml:space="preserve">T010</t>
  </si>
  <si>
    <t xml:space="preserve">Beta Stores</t>
  </si>
  <si>
    <t xml:space="preserve">610000</t>
  </si>
  <si>
    <t xml:space="preserve">risk-77</t>
  </si>
  <si>
    <t xml:space="preserve">T011</t>
  </si>
  <si>
    <t xml:space="preserve">195000</t>
  </si>
  <si>
    <t xml:space="preserve">FAILED e05 TIMEOUT</t>
  </si>
  <si>
    <t xml:space="preserve">U008</t>
  </si>
  <si>
    <t xml:space="preserve">T012</t>
  </si>
  <si>
    <t xml:space="preserve">2026-03-04</t>
  </si>
  <si>
    <t xml:space="preserve">250000</t>
  </si>
  <si>
    <t xml:space="preserve">captured </t>
  </si>
  <si>
    <t xml:space="preserve">risk-61</t>
  </si>
  <si>
    <t xml:space="preserve">U009</t>
  </si>
  <si>
    <t xml:space="preserve">T013</t>
  </si>
  <si>
    <t xml:space="preserve">310000</t>
  </si>
  <si>
    <t xml:space="preserve">score:54</t>
  </si>
  <si>
    <t xml:space="preserve">U010</t>
  </si>
  <si>
    <t xml:space="preserve">T014</t>
  </si>
  <si>
    <t xml:space="preserve">470000</t>
  </si>
  <si>
    <t xml:space="preserve">risk-73</t>
  </si>
  <si>
    <t xml:space="preserve">T015</t>
  </si>
  <si>
    <t xml:space="preserve">130000</t>
  </si>
  <si>
    <t xml:space="preserve">score:52</t>
  </si>
  <si>
    <t xml:space="preserve">T016</t>
  </si>
  <si>
    <t xml:space="preserve">2026-03-05</t>
  </si>
  <si>
    <t xml:space="preserve">220000</t>
  </si>
  <si>
    <t xml:space="preserve">failed E05 timeout</t>
  </si>
  <si>
    <t xml:space="preserve">risk-69</t>
  </si>
  <si>
    <t xml:space="preserve">T017</t>
  </si>
  <si>
    <t xml:space="preserve">180000</t>
  </si>
  <si>
    <t xml:space="preserve">Failed E05 Timeout</t>
  </si>
  <si>
    <t xml:space="preserve">score:72</t>
  </si>
  <si>
    <t xml:space="preserve">T018</t>
  </si>
  <si>
    <t xml:space="preserve">145000</t>
  </si>
  <si>
    <t xml:space="preserve"> chargeback </t>
  </si>
  <si>
    <t xml:space="preserve">risk-86</t>
  </si>
  <si>
    <t xml:space="preserve">T019</t>
  </si>
  <si>
    <t xml:space="preserve">260000</t>
  </si>
  <si>
    <t xml:space="preserve">score:67</t>
  </si>
  <si>
    <t xml:space="preserve">T020</t>
  </si>
  <si>
    <t xml:space="preserve">520000</t>
  </si>
  <si>
    <t xml:space="preserve">75 </t>
  </si>
  <si>
    <t xml:space="preserve">T021</t>
  </si>
  <si>
    <t xml:space="preserve">2026-03-06</t>
  </si>
  <si>
    <t xml:space="preserve"> beta stores</t>
  </si>
  <si>
    <t xml:space="preserve">330000</t>
  </si>
  <si>
    <t xml:space="preserve">score:63</t>
  </si>
  <si>
    <t xml:space="preserve">T022</t>
  </si>
  <si>
    <t xml:space="preserve">410000</t>
  </si>
  <si>
    <t xml:space="preserve">60 </t>
  </si>
  <si>
    <t xml:space="preserve">T023</t>
  </si>
  <si>
    <t xml:space="preserve">City Pharma</t>
  </si>
  <si>
    <t xml:space="preserve">5200</t>
  </si>
  <si>
    <t xml:space="preserve">EUR</t>
  </si>
  <si>
    <t xml:space="preserve">42</t>
  </si>
  <si>
    <t xml:space="preserve"> EU </t>
  </si>
  <si>
    <t xml:space="preserve">T024</t>
  </si>
  <si>
    <t xml:space="preserve">Eco Home</t>
  </si>
  <si>
    <t xml:space="preserve">6100</t>
  </si>
  <si>
    <t xml:space="preserve">score:65</t>
  </si>
  <si>
    <t xml:space="preserve">EU</t>
  </si>
  <si>
    <t xml:space="preserve">T025</t>
  </si>
  <si>
    <t xml:space="preserve">2800</t>
  </si>
  <si>
    <t xml:space="preserve">38 </t>
  </si>
  <si>
    <t xml:space="preserve">eu</t>
  </si>
  <si>
    <t xml:space="preserve">T026</t>
  </si>
  <si>
    <t xml:space="preserve">3300</t>
  </si>
  <si>
    <t xml:space="preserve">44</t>
  </si>
  <si>
    <t xml:space="preserve">T027</t>
  </si>
  <si>
    <t xml:space="preserve">DELTA TRAVELS</t>
  </si>
  <si>
    <t xml:space="preserve">7200</t>
  </si>
  <si>
    <t xml:space="preserve">USD</t>
  </si>
  <si>
    <t xml:space="preserve">49 </t>
  </si>
  <si>
    <t xml:space="preserve">us</t>
  </si>
  <si>
    <t xml:space="preserve">T028</t>
  </si>
  <si>
    <t xml:space="preserve">Delta Travels</t>
  </si>
  <si>
    <t xml:space="preserve">3100</t>
  </si>
  <si>
    <t xml:space="preserve">risk-41</t>
  </si>
  <si>
    <t xml:space="preserve">US</t>
  </si>
  <si>
    <t xml:space="preserve">T029</t>
  </si>
  <si>
    <t xml:space="preserve">delta travels </t>
  </si>
  <si>
    <t xml:space="preserve">2500</t>
  </si>
  <si>
    <t xml:space="preserve">score:58</t>
  </si>
  <si>
    <t xml:space="preserve">T030</t>
  </si>
  <si>
    <t xml:space="preserve">1800</t>
  </si>
  <si>
    <t xml:space="preserve">score:47</t>
  </si>
  <si>
    <t xml:space="preserve">merchant_id</t>
  </si>
  <si>
    <t xml:space="preserve">merchant_category</t>
  </si>
  <si>
    <t xml:space="preserve">amount_usd</t>
  </si>
  <si>
    <t xml:space="preserve">high_value_flag</t>
  </si>
  <si>
    <t xml:space="preserve">high_risk_flag</t>
  </si>
  <si>
    <t xml:space="preserve">M001</t>
  </si>
  <si>
    <t xml:space="preserve">Grocery</t>
  </si>
  <si>
    <t xml:space="preserve">M002</t>
  </si>
  <si>
    <t xml:space="preserve">Electronics</t>
  </si>
  <si>
    <t xml:space="preserve">failed</t>
  </si>
  <si>
    <t xml:space="preserve">M003</t>
  </si>
  <si>
    <t xml:space="preserve">Healthcare</t>
  </si>
  <si>
    <t xml:space="preserve">M005</t>
  </si>
  <si>
    <t xml:space="preserve">Home</t>
  </si>
  <si>
    <t xml:space="preserve">M004</t>
  </si>
  <si>
    <t xml:space="preserve">Travel</t>
  </si>
  <si>
    <t xml:space="preserve">rate_date</t>
  </si>
  <si>
    <t xml:space="preserve">usd_rate</t>
  </si>
  <si>
    <t xml:space="preserve">0.0119</t>
  </si>
  <si>
    <t xml:space="preserve">1.08</t>
  </si>
  <si>
    <t xml:space="preserve">1.0</t>
  </si>
  <si>
    <t xml:space="preserve">0.012</t>
  </si>
  <si>
    <t xml:space="preserve">1.09</t>
  </si>
  <si>
    <t xml:space="preserve">0.0121</t>
  </si>
  <si>
    <t xml:space="preserve">1.07</t>
  </si>
  <si>
    <t xml:space="preserve">0.0118</t>
  </si>
  <si>
    <t xml:space="preserve">account_manager</t>
  </si>
  <si>
    <t xml:space="preserve">default_region</t>
  </si>
  <si>
    <t xml:space="preserve">Aisha Khan</t>
  </si>
  <si>
    <t xml:space="preserve">Rohan Mehta</t>
  </si>
  <si>
    <t xml:space="preserve">Elena Rossi</t>
  </si>
  <si>
    <t xml:space="preserve">Marcus Lee</t>
  </si>
  <si>
    <t xml:space="preserve">Nina Weber</t>
  </si>
  <si>
    <t xml:space="preserve">total_transactions</t>
  </si>
  <si>
    <t xml:space="preserve">total_gmv_usd</t>
  </si>
  <si>
    <t xml:space="preserve">captured_gmv_usd</t>
  </si>
  <si>
    <t xml:space="preserve">chargeback_count</t>
  </si>
  <si>
    <t xml:space="preserve">failed_count</t>
  </si>
  <si>
    <t xml:space="preserve">avg_risk_score</t>
  </si>
  <si>
    <t xml:space="preserve">high_risk_count</t>
  </si>
  <si>
    <t xml:space="preserve">high_value_count</t>
  </si>
  <si>
    <t xml:space="preserve">chargeback_ratio_pct</t>
  </si>
  <si>
    <t xml:space="preserve">TOTAL</t>
  </si>
  <si>
    <t xml:space="preserve">QuickPay FinTech - Data Summary</t>
  </si>
  <si>
    <t xml:space="preserve">Metric</t>
  </si>
  <si>
    <t xml:space="preserve">Value</t>
  </si>
  <si>
    <t xml:space="preserve">Total Raw Rows</t>
  </si>
  <si>
    <t xml:space="preserve">Total Cleaned Rows</t>
  </si>
  <si>
    <t xml:space="preserve">Null Risk Score Rows Handled</t>
  </si>
  <si>
    <t xml:space="preserve">Total GMV (USD)</t>
  </si>
  <si>
    <t xml:space="preserve">Captured GMV (USD)</t>
  </si>
  <si>
    <t xml:space="preserve">Top Region by GMV</t>
  </si>
  <si>
    <t xml:space="preserve">APAC GMV (USD)</t>
  </si>
  <si>
    <t xml:space="preserve">High Value Transactions</t>
  </si>
  <si>
    <t xml:space="preserve">High Risk Transactions</t>
  </si>
  <si>
    <t xml:space="preserve">Top Merchant by Captured GMV</t>
  </si>
  <si>
    <t xml:space="preserve">Beta Stores Captured GMV (USD)</t>
  </si>
  <si>
    <t xml:space="preserve">Total Transactions - Captured</t>
  </si>
  <si>
    <t xml:space="preserve">Total Transactions - Failed</t>
  </si>
  <si>
    <t xml:space="preserve">Total Transactions - Chargeback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</si>
</sst>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2F7FF"/>
        <bgColor rgb="FFFFFFFF"/>
      </patternFill>
    </fill>
    <fill>
      <patternFill patternType="solid">
        <fgColor rgb="FFFFFFFF"/>
        <bgColor rgb="FFF2F7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FFF2CC"/>
      </patternFill>
    </fill>
    <fill>
      <patternFill patternType="solid">
        <fgColor rgb="FFFFF2CC"/>
        <bgColor rgb="FFF2F7FF"/>
      </patternFill>
    </fill>
    <fill>
      <patternFill patternType="solid">
        <fgColor rgb="FFD6E4F7"/>
        <bgColor rgb="FFF2F7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7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15" hidden="false" customHeight="false" outlineLevel="0" collapsed="false">
      <c r="A3" s="3" t="s">
        <v>20</v>
      </c>
      <c r="B3" s="3" t="s">
        <v>11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24</v>
      </c>
      <c r="H3" s="3"/>
      <c r="I3" s="3" t="s">
        <v>25</v>
      </c>
      <c r="J3" s="3" t="s">
        <v>26</v>
      </c>
    </row>
    <row r="4" customFormat="false" ht="15" hidden="false" customHeight="false" outlineLevel="0" collapsed="false">
      <c r="A4" s="2" t="s">
        <v>27</v>
      </c>
      <c r="B4" s="2" t="s">
        <v>11</v>
      </c>
      <c r="C4" s="2" t="s">
        <v>28</v>
      </c>
      <c r="D4" s="2" t="s">
        <v>29</v>
      </c>
      <c r="E4" s="2" t="s">
        <v>14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</row>
    <row r="5" customFormat="false" ht="15" hidden="false" customHeight="false" outlineLevel="0" collapsed="false">
      <c r="A5" s="3" t="s">
        <v>35</v>
      </c>
      <c r="B5" s="3" t="s">
        <v>36</v>
      </c>
      <c r="C5" s="3" t="s">
        <v>37</v>
      </c>
      <c r="D5" s="3" t="s">
        <v>38</v>
      </c>
      <c r="E5" s="3" t="s">
        <v>14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26</v>
      </c>
    </row>
    <row r="6" customFormat="false" ht="15" hidden="false" customHeight="false" outlineLevel="0" collapsed="false">
      <c r="A6" s="2" t="s">
        <v>43</v>
      </c>
      <c r="B6" s="2" t="s">
        <v>36</v>
      </c>
      <c r="C6" s="2" t="s">
        <v>44</v>
      </c>
      <c r="D6" s="2" t="s">
        <v>45</v>
      </c>
      <c r="E6" s="2" t="s">
        <v>14</v>
      </c>
      <c r="F6" s="2" t="s">
        <v>30</v>
      </c>
      <c r="G6" s="2" t="s">
        <v>46</v>
      </c>
      <c r="H6" s="2"/>
      <c r="I6" s="2" t="s">
        <v>18</v>
      </c>
      <c r="J6" s="2" t="s">
        <v>19</v>
      </c>
    </row>
    <row r="7" customFormat="false" ht="15" hidden="false" customHeight="false" outlineLevel="0" collapsed="false">
      <c r="A7" s="3" t="s">
        <v>47</v>
      </c>
      <c r="B7" s="3" t="s">
        <v>36</v>
      </c>
      <c r="C7" s="3" t="s">
        <v>37</v>
      </c>
      <c r="D7" s="3" t="s">
        <v>48</v>
      </c>
      <c r="E7" s="3" t="s">
        <v>14</v>
      </c>
      <c r="F7" s="3" t="s">
        <v>23</v>
      </c>
      <c r="G7" s="3" t="s">
        <v>49</v>
      </c>
      <c r="H7" s="3"/>
      <c r="I7" s="3" t="s">
        <v>50</v>
      </c>
      <c r="J7" s="3" t="s">
        <v>51</v>
      </c>
    </row>
    <row r="8" customFormat="false" ht="15" hidden="false" customHeight="false" outlineLevel="0" collapsed="false">
      <c r="A8" s="2" t="s">
        <v>52</v>
      </c>
      <c r="B8" s="2" t="s">
        <v>36</v>
      </c>
      <c r="C8" s="2" t="s">
        <v>53</v>
      </c>
      <c r="D8" s="2" t="s">
        <v>54</v>
      </c>
      <c r="E8" s="2" t="s">
        <v>14</v>
      </c>
      <c r="F8" s="2" t="s">
        <v>55</v>
      </c>
      <c r="G8" s="2" t="s">
        <v>56</v>
      </c>
      <c r="H8" s="2" t="s">
        <v>32</v>
      </c>
      <c r="I8" s="2" t="s">
        <v>57</v>
      </c>
      <c r="J8" s="2" t="s">
        <v>26</v>
      </c>
    </row>
    <row r="9" customFormat="false" ht="15" hidden="false" customHeight="false" outlineLevel="0" collapsed="false">
      <c r="A9" s="3" t="s">
        <v>58</v>
      </c>
      <c r="B9" s="3" t="s">
        <v>59</v>
      </c>
      <c r="C9" s="3" t="s">
        <v>28</v>
      </c>
      <c r="D9" s="3" t="s">
        <v>60</v>
      </c>
      <c r="E9" s="3" t="s">
        <v>14</v>
      </c>
      <c r="F9" s="3" t="s">
        <v>23</v>
      </c>
      <c r="G9" s="3" t="s">
        <v>61</v>
      </c>
      <c r="H9" s="3"/>
      <c r="I9" s="3" t="s">
        <v>62</v>
      </c>
      <c r="J9" s="3" t="s">
        <v>19</v>
      </c>
    </row>
    <row r="10" customFormat="false" ht="15" hidden="false" customHeight="false" outlineLevel="0" collapsed="false">
      <c r="A10" s="2" t="s">
        <v>63</v>
      </c>
      <c r="B10" s="2" t="s">
        <v>59</v>
      </c>
      <c r="C10" s="2" t="s">
        <v>44</v>
      </c>
      <c r="D10" s="2" t="s">
        <v>64</v>
      </c>
      <c r="E10" s="2" t="s">
        <v>14</v>
      </c>
      <c r="F10" s="2" t="s">
        <v>15</v>
      </c>
      <c r="G10" s="2" t="s">
        <v>65</v>
      </c>
      <c r="H10" s="2" t="s">
        <v>17</v>
      </c>
      <c r="I10" s="2" t="s">
        <v>25</v>
      </c>
      <c r="J10" s="2" t="s">
        <v>51</v>
      </c>
    </row>
    <row r="11" customFormat="false" ht="15" hidden="false" customHeight="false" outlineLevel="0" collapsed="false">
      <c r="A11" s="3" t="s">
        <v>66</v>
      </c>
      <c r="B11" s="3" t="s">
        <v>59</v>
      </c>
      <c r="C11" s="3" t="s">
        <v>67</v>
      </c>
      <c r="D11" s="3" t="s">
        <v>68</v>
      </c>
      <c r="E11" s="3" t="s">
        <v>14</v>
      </c>
      <c r="F11" s="3" t="s">
        <v>15</v>
      </c>
      <c r="G11" s="3" t="s">
        <v>69</v>
      </c>
      <c r="H11" s="3"/>
      <c r="I11" s="3" t="s">
        <v>33</v>
      </c>
      <c r="J11" s="3" t="s">
        <v>26</v>
      </c>
    </row>
    <row r="12" customFormat="false" ht="15" hidden="false" customHeight="false" outlineLevel="0" collapsed="false">
      <c r="A12" s="2" t="s">
        <v>70</v>
      </c>
      <c r="B12" s="2" t="s">
        <v>59</v>
      </c>
      <c r="C12" s="2" t="s">
        <v>53</v>
      </c>
      <c r="D12" s="2" t="s">
        <v>71</v>
      </c>
      <c r="E12" s="2" t="s">
        <v>14</v>
      </c>
      <c r="F12" s="2" t="s">
        <v>72</v>
      </c>
      <c r="G12" s="2"/>
      <c r="H12" s="2"/>
      <c r="I12" s="2" t="s">
        <v>73</v>
      </c>
      <c r="J12" s="2" t="s">
        <v>19</v>
      </c>
    </row>
    <row r="13" customFormat="false" ht="15" hidden="false" customHeight="false" outlineLevel="0" collapsed="false">
      <c r="A13" s="3" t="s">
        <v>74</v>
      </c>
      <c r="B13" s="3" t="s">
        <v>75</v>
      </c>
      <c r="C13" s="3" t="s">
        <v>37</v>
      </c>
      <c r="D13" s="3" t="s">
        <v>76</v>
      </c>
      <c r="E13" s="3" t="s">
        <v>14</v>
      </c>
      <c r="F13" s="3" t="s">
        <v>77</v>
      </c>
      <c r="G13" s="3" t="s">
        <v>78</v>
      </c>
      <c r="H13" s="3" t="s">
        <v>32</v>
      </c>
      <c r="I13" s="3" t="s">
        <v>79</v>
      </c>
      <c r="J13" s="3" t="s">
        <v>26</v>
      </c>
    </row>
    <row r="14" customFormat="false" ht="15" hidden="false" customHeight="false" outlineLevel="0" collapsed="false">
      <c r="A14" s="2" t="s">
        <v>80</v>
      </c>
      <c r="B14" s="2" t="s">
        <v>75</v>
      </c>
      <c r="C14" s="2" t="s">
        <v>12</v>
      </c>
      <c r="D14" s="2" t="s">
        <v>81</v>
      </c>
      <c r="E14" s="2" t="s">
        <v>14</v>
      </c>
      <c r="F14" s="2" t="s">
        <v>77</v>
      </c>
      <c r="G14" s="2" t="s">
        <v>82</v>
      </c>
      <c r="H14" s="2" t="s">
        <v>17</v>
      </c>
      <c r="I14" s="2" t="s">
        <v>83</v>
      </c>
      <c r="J14" s="2" t="s">
        <v>19</v>
      </c>
    </row>
    <row r="15" customFormat="false" ht="15" hidden="false" customHeight="false" outlineLevel="0" collapsed="false">
      <c r="A15" s="3" t="s">
        <v>84</v>
      </c>
      <c r="B15" s="3" t="s">
        <v>75</v>
      </c>
      <c r="C15" s="3" t="s">
        <v>37</v>
      </c>
      <c r="D15" s="3" t="s">
        <v>85</v>
      </c>
      <c r="E15" s="3" t="s">
        <v>14</v>
      </c>
      <c r="F15" s="3" t="s">
        <v>77</v>
      </c>
      <c r="G15" s="3" t="s">
        <v>86</v>
      </c>
      <c r="H15" s="3" t="s">
        <v>17</v>
      </c>
      <c r="I15" s="3" t="s">
        <v>18</v>
      </c>
      <c r="J15" s="3" t="s">
        <v>34</v>
      </c>
    </row>
    <row r="16" customFormat="false" ht="15" hidden="false" customHeight="false" outlineLevel="0" collapsed="false">
      <c r="A16" s="2" t="s">
        <v>87</v>
      </c>
      <c r="B16" s="2" t="s">
        <v>75</v>
      </c>
      <c r="C16" s="2" t="s">
        <v>44</v>
      </c>
      <c r="D16" s="2" t="s">
        <v>88</v>
      </c>
      <c r="E16" s="2" t="s">
        <v>14</v>
      </c>
      <c r="F16" s="2" t="s">
        <v>15</v>
      </c>
      <c r="G16" s="2" t="s">
        <v>89</v>
      </c>
      <c r="H16" s="2"/>
      <c r="I16" s="2" t="s">
        <v>25</v>
      </c>
      <c r="J16" s="2" t="s">
        <v>26</v>
      </c>
    </row>
    <row r="17" customFormat="false" ht="15" hidden="false" customHeight="false" outlineLevel="0" collapsed="false">
      <c r="A17" s="3" t="s">
        <v>90</v>
      </c>
      <c r="B17" s="3" t="s">
        <v>91</v>
      </c>
      <c r="C17" s="3" t="s">
        <v>37</v>
      </c>
      <c r="D17" s="3" t="s">
        <v>92</v>
      </c>
      <c r="E17" s="3" t="s">
        <v>14</v>
      </c>
      <c r="F17" s="3" t="s">
        <v>93</v>
      </c>
      <c r="G17" s="3" t="s">
        <v>94</v>
      </c>
      <c r="H17" s="3"/>
      <c r="I17" s="3" t="s">
        <v>73</v>
      </c>
      <c r="J17" s="3" t="s">
        <v>26</v>
      </c>
    </row>
    <row r="18" customFormat="false" ht="15" hidden="false" customHeight="false" outlineLevel="0" collapsed="false">
      <c r="A18" s="2" t="s">
        <v>95</v>
      </c>
      <c r="B18" s="2" t="s">
        <v>91</v>
      </c>
      <c r="C18" s="2" t="s">
        <v>37</v>
      </c>
      <c r="D18" s="2" t="s">
        <v>96</v>
      </c>
      <c r="E18" s="2" t="s">
        <v>14</v>
      </c>
      <c r="F18" s="2" t="s">
        <v>97</v>
      </c>
      <c r="G18" s="2" t="s">
        <v>98</v>
      </c>
      <c r="H18" s="2" t="s">
        <v>41</v>
      </c>
      <c r="I18" s="2" t="s">
        <v>73</v>
      </c>
      <c r="J18" s="2" t="s">
        <v>26</v>
      </c>
    </row>
    <row r="19" customFormat="false" ht="15" hidden="false" customHeight="false" outlineLevel="0" collapsed="false">
      <c r="A19" s="3" t="s">
        <v>99</v>
      </c>
      <c r="B19" s="3" t="s">
        <v>91</v>
      </c>
      <c r="C19" s="3" t="s">
        <v>28</v>
      </c>
      <c r="D19" s="3" t="s">
        <v>100</v>
      </c>
      <c r="E19" s="3" t="s">
        <v>14</v>
      </c>
      <c r="F19" s="3" t="s">
        <v>101</v>
      </c>
      <c r="G19" s="3" t="s">
        <v>102</v>
      </c>
      <c r="H19" s="3" t="s">
        <v>32</v>
      </c>
      <c r="I19" s="3" t="s">
        <v>73</v>
      </c>
      <c r="J19" s="3" t="s">
        <v>19</v>
      </c>
    </row>
    <row r="20" customFormat="false" ht="15" hidden="false" customHeight="false" outlineLevel="0" collapsed="false">
      <c r="A20" s="2" t="s">
        <v>103</v>
      </c>
      <c r="B20" s="2" t="s">
        <v>91</v>
      </c>
      <c r="C20" s="2" t="s">
        <v>53</v>
      </c>
      <c r="D20" s="2" t="s">
        <v>104</v>
      </c>
      <c r="E20" s="2" t="s">
        <v>14</v>
      </c>
      <c r="F20" s="2" t="s">
        <v>97</v>
      </c>
      <c r="G20" s="2" t="s">
        <v>105</v>
      </c>
      <c r="H20" s="2" t="s">
        <v>41</v>
      </c>
      <c r="I20" s="2" t="s">
        <v>73</v>
      </c>
      <c r="J20" s="2" t="s">
        <v>51</v>
      </c>
    </row>
    <row r="21" customFormat="false" ht="15" hidden="false" customHeight="false" outlineLevel="0" collapsed="false">
      <c r="A21" s="3" t="s">
        <v>106</v>
      </c>
      <c r="B21" s="3" t="s">
        <v>91</v>
      </c>
      <c r="C21" s="3" t="s">
        <v>44</v>
      </c>
      <c r="D21" s="3" t="s">
        <v>107</v>
      </c>
      <c r="E21" s="3" t="s">
        <v>14</v>
      </c>
      <c r="F21" s="3" t="s">
        <v>23</v>
      </c>
      <c r="G21" s="3" t="s">
        <v>108</v>
      </c>
      <c r="H21" s="3" t="s">
        <v>17</v>
      </c>
      <c r="I21" s="3" t="s">
        <v>50</v>
      </c>
      <c r="J21" s="3" t="s">
        <v>19</v>
      </c>
    </row>
    <row r="22" customFormat="false" ht="15" hidden="false" customHeight="false" outlineLevel="0" collapsed="false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14</v>
      </c>
      <c r="F22" s="2" t="s">
        <v>77</v>
      </c>
      <c r="G22" s="2" t="s">
        <v>113</v>
      </c>
      <c r="H22" s="2"/>
      <c r="I22" s="2" t="s">
        <v>57</v>
      </c>
      <c r="J22" s="2" t="s">
        <v>26</v>
      </c>
    </row>
    <row r="23" customFormat="false" ht="15" hidden="false" customHeight="false" outlineLevel="0" collapsed="false">
      <c r="A23" s="3" t="s">
        <v>114</v>
      </c>
      <c r="B23" s="3" t="s">
        <v>110</v>
      </c>
      <c r="C23" s="3" t="s">
        <v>21</v>
      </c>
      <c r="D23" s="3" t="s">
        <v>115</v>
      </c>
      <c r="E23" s="3" t="s">
        <v>14</v>
      </c>
      <c r="F23" s="3" t="s">
        <v>77</v>
      </c>
      <c r="G23" s="3" t="s">
        <v>116</v>
      </c>
      <c r="H23" s="3" t="s">
        <v>17</v>
      </c>
      <c r="I23" s="3" t="s">
        <v>62</v>
      </c>
      <c r="J23" s="3" t="s">
        <v>19</v>
      </c>
    </row>
    <row r="24" customFormat="false" ht="15" hidden="false" customHeight="false" outlineLevel="0" collapsed="false">
      <c r="A24" s="2" t="s">
        <v>117</v>
      </c>
      <c r="B24" s="2" t="s">
        <v>11</v>
      </c>
      <c r="C24" s="2" t="s">
        <v>118</v>
      </c>
      <c r="D24" s="2" t="s">
        <v>119</v>
      </c>
      <c r="E24" s="2" t="s">
        <v>120</v>
      </c>
      <c r="F24" s="2" t="s">
        <v>23</v>
      </c>
      <c r="G24" s="2" t="s">
        <v>121</v>
      </c>
      <c r="H24" s="2" t="s">
        <v>122</v>
      </c>
      <c r="I24" s="2" t="s">
        <v>33</v>
      </c>
      <c r="J24" s="2" t="s">
        <v>26</v>
      </c>
    </row>
    <row r="25" customFormat="false" ht="15" hidden="false" customHeight="false" outlineLevel="0" collapsed="false">
      <c r="A25" s="3" t="s">
        <v>123</v>
      </c>
      <c r="B25" s="3" t="s">
        <v>36</v>
      </c>
      <c r="C25" s="3" t="s">
        <v>124</v>
      </c>
      <c r="D25" s="3" t="s">
        <v>125</v>
      </c>
      <c r="E25" s="3" t="s">
        <v>120</v>
      </c>
      <c r="F25" s="3" t="s">
        <v>101</v>
      </c>
      <c r="G25" s="3" t="s">
        <v>126</v>
      </c>
      <c r="H25" s="3" t="s">
        <v>127</v>
      </c>
      <c r="I25" s="3" t="s">
        <v>42</v>
      </c>
      <c r="J25" s="3" t="s">
        <v>26</v>
      </c>
    </row>
    <row r="26" customFormat="false" ht="15" hidden="false" customHeight="false" outlineLevel="0" collapsed="false">
      <c r="A26" s="2" t="s">
        <v>128</v>
      </c>
      <c r="B26" s="2" t="s">
        <v>59</v>
      </c>
      <c r="C26" s="2" t="s">
        <v>118</v>
      </c>
      <c r="D26" s="2" t="s">
        <v>129</v>
      </c>
      <c r="E26" s="2" t="s">
        <v>120</v>
      </c>
      <c r="F26" s="2" t="s">
        <v>77</v>
      </c>
      <c r="G26" s="2" t="s">
        <v>130</v>
      </c>
      <c r="H26" s="2" t="s">
        <v>131</v>
      </c>
      <c r="I26" s="2" t="s">
        <v>50</v>
      </c>
      <c r="J26" s="2" t="s">
        <v>51</v>
      </c>
    </row>
    <row r="27" customFormat="false" ht="15" hidden="false" customHeight="false" outlineLevel="0" collapsed="false">
      <c r="A27" s="3" t="s">
        <v>132</v>
      </c>
      <c r="B27" s="3" t="s">
        <v>91</v>
      </c>
      <c r="C27" s="3" t="s">
        <v>124</v>
      </c>
      <c r="D27" s="3" t="s">
        <v>133</v>
      </c>
      <c r="E27" s="3" t="s">
        <v>120</v>
      </c>
      <c r="F27" s="3" t="s">
        <v>97</v>
      </c>
      <c r="G27" s="3" t="s">
        <v>134</v>
      </c>
      <c r="H27" s="3" t="s">
        <v>122</v>
      </c>
      <c r="I27" s="3" t="s">
        <v>57</v>
      </c>
      <c r="J27" s="3" t="s">
        <v>34</v>
      </c>
    </row>
    <row r="28" customFormat="false" ht="15" hidden="false" customHeight="false" outlineLevel="0" collapsed="false">
      <c r="A28" s="2" t="s">
        <v>135</v>
      </c>
      <c r="B28" s="2" t="s">
        <v>11</v>
      </c>
      <c r="C28" s="2" t="s">
        <v>136</v>
      </c>
      <c r="D28" s="2" t="s">
        <v>137</v>
      </c>
      <c r="E28" s="2" t="s">
        <v>138</v>
      </c>
      <c r="F28" s="2" t="s">
        <v>77</v>
      </c>
      <c r="G28" s="2" t="s">
        <v>139</v>
      </c>
      <c r="H28" s="2" t="s">
        <v>140</v>
      </c>
      <c r="I28" s="2" t="s">
        <v>62</v>
      </c>
      <c r="J28" s="2" t="s">
        <v>26</v>
      </c>
    </row>
    <row r="29" customFormat="false" ht="15" hidden="false" customHeight="false" outlineLevel="0" collapsed="false">
      <c r="A29" s="3" t="s">
        <v>141</v>
      </c>
      <c r="B29" s="3" t="s">
        <v>36</v>
      </c>
      <c r="C29" s="3" t="s">
        <v>142</v>
      </c>
      <c r="D29" s="3" t="s">
        <v>143</v>
      </c>
      <c r="E29" s="3" t="s">
        <v>138</v>
      </c>
      <c r="F29" s="3" t="s">
        <v>30</v>
      </c>
      <c r="G29" s="3" t="s">
        <v>144</v>
      </c>
      <c r="H29" s="3" t="s">
        <v>145</v>
      </c>
      <c r="I29" s="3" t="s">
        <v>73</v>
      </c>
      <c r="J29" s="3" t="s">
        <v>26</v>
      </c>
    </row>
    <row r="30" customFormat="false" ht="15" hidden="false" customHeight="false" outlineLevel="0" collapsed="false">
      <c r="A30" s="2" t="s">
        <v>146</v>
      </c>
      <c r="B30" s="2" t="s">
        <v>75</v>
      </c>
      <c r="C30" s="2" t="s">
        <v>147</v>
      </c>
      <c r="D30" s="2" t="s">
        <v>148</v>
      </c>
      <c r="E30" s="2" t="s">
        <v>138</v>
      </c>
      <c r="F30" s="2" t="s">
        <v>101</v>
      </c>
      <c r="G30" s="2" t="s">
        <v>149</v>
      </c>
      <c r="H30" s="2" t="s">
        <v>145</v>
      </c>
      <c r="I30" s="2" t="s">
        <v>79</v>
      </c>
      <c r="J30" s="2" t="s">
        <v>51</v>
      </c>
    </row>
    <row r="31" customFormat="false" ht="15" hidden="false" customHeight="false" outlineLevel="0" collapsed="false">
      <c r="A31" s="3" t="s">
        <v>150</v>
      </c>
      <c r="B31" s="3" t="s">
        <v>110</v>
      </c>
      <c r="C31" s="3" t="s">
        <v>136</v>
      </c>
      <c r="D31" s="3" t="s">
        <v>151</v>
      </c>
      <c r="E31" s="3" t="s">
        <v>138</v>
      </c>
      <c r="F31" s="3" t="s">
        <v>97</v>
      </c>
      <c r="G31" s="3" t="s">
        <v>152</v>
      </c>
      <c r="H31" s="3" t="s">
        <v>145</v>
      </c>
      <c r="I31" s="3" t="s">
        <v>83</v>
      </c>
      <c r="J31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10" min="8" style="0" width="12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1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153</v>
      </c>
      <c r="E1" s="1" t="s">
        <v>154</v>
      </c>
      <c r="F1" s="1" t="s">
        <v>3</v>
      </c>
      <c r="G1" s="1" t="s">
        <v>4</v>
      </c>
      <c r="H1" s="1" t="s">
        <v>155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156</v>
      </c>
      <c r="O1" s="1" t="s">
        <v>157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44</v>
      </c>
      <c r="D2" s="2" t="s">
        <v>158</v>
      </c>
      <c r="E2" s="2" t="s">
        <v>159</v>
      </c>
      <c r="F2" s="2" t="n">
        <v>420000</v>
      </c>
      <c r="G2" s="2" t="s">
        <v>14</v>
      </c>
      <c r="H2" s="2" t="n">
        <v>4998</v>
      </c>
      <c r="I2" s="2" t="s">
        <v>15</v>
      </c>
      <c r="J2" s="2" t="n">
        <v>62</v>
      </c>
      <c r="K2" s="2" t="s">
        <v>17</v>
      </c>
      <c r="L2" s="2" t="s">
        <v>18</v>
      </c>
      <c r="M2" s="2" t="s">
        <v>19</v>
      </c>
      <c r="N2" s="2" t="n">
        <v>0</v>
      </c>
      <c r="O2" s="2" t="n">
        <v>0</v>
      </c>
    </row>
    <row r="3" customFormat="false" ht="15" hidden="false" customHeight="false" outlineLevel="0" collapsed="false">
      <c r="A3" s="3" t="s">
        <v>20</v>
      </c>
      <c r="B3" s="3" t="s">
        <v>11</v>
      </c>
      <c r="C3" s="3" t="s">
        <v>44</v>
      </c>
      <c r="D3" s="3" t="s">
        <v>158</v>
      </c>
      <c r="E3" s="3" t="s">
        <v>159</v>
      </c>
      <c r="F3" s="3" t="n">
        <v>210000</v>
      </c>
      <c r="G3" s="3" t="s">
        <v>14</v>
      </c>
      <c r="H3" s="3" t="n">
        <v>2499</v>
      </c>
      <c r="I3" s="3" t="s">
        <v>15</v>
      </c>
      <c r="J3" s="3" t="n">
        <v>55</v>
      </c>
      <c r="K3" s="3" t="s">
        <v>17</v>
      </c>
      <c r="L3" s="3" t="s">
        <v>25</v>
      </c>
      <c r="M3" s="3" t="s">
        <v>26</v>
      </c>
      <c r="N3" s="3" t="n">
        <v>0</v>
      </c>
      <c r="O3" s="3" t="n">
        <v>0</v>
      </c>
    </row>
    <row r="4" customFormat="false" ht="15" hidden="false" customHeight="false" outlineLevel="0" collapsed="false">
      <c r="A4" s="2" t="s">
        <v>27</v>
      </c>
      <c r="B4" s="2" t="s">
        <v>11</v>
      </c>
      <c r="C4" s="2" t="s">
        <v>67</v>
      </c>
      <c r="D4" s="2" t="s">
        <v>160</v>
      </c>
      <c r="E4" s="2" t="s">
        <v>161</v>
      </c>
      <c r="F4" s="2" t="n">
        <v>510000</v>
      </c>
      <c r="G4" s="2" t="s">
        <v>14</v>
      </c>
      <c r="H4" s="2" t="n">
        <v>6069</v>
      </c>
      <c r="I4" s="2" t="s">
        <v>15</v>
      </c>
      <c r="J4" s="2" t="n">
        <v>71</v>
      </c>
      <c r="K4" s="2" t="s">
        <v>17</v>
      </c>
      <c r="L4" s="2" t="s">
        <v>33</v>
      </c>
      <c r="M4" s="2" t="s">
        <v>34</v>
      </c>
      <c r="N4" s="4" t="n">
        <v>1</v>
      </c>
      <c r="O4" s="5" t="n">
        <v>1</v>
      </c>
    </row>
    <row r="5" customFormat="false" ht="15" hidden="false" customHeight="false" outlineLevel="0" collapsed="false">
      <c r="A5" s="3" t="s">
        <v>35</v>
      </c>
      <c r="B5" s="3" t="s">
        <v>36</v>
      </c>
      <c r="C5" s="3" t="s">
        <v>67</v>
      </c>
      <c r="D5" s="3" t="s">
        <v>160</v>
      </c>
      <c r="E5" s="3" t="s">
        <v>161</v>
      </c>
      <c r="F5" s="3" t="n">
        <v>160000</v>
      </c>
      <c r="G5" s="3" t="s">
        <v>14</v>
      </c>
      <c r="H5" s="3" t="n">
        <v>1920</v>
      </c>
      <c r="I5" s="3" t="s">
        <v>162</v>
      </c>
      <c r="J5" s="3" t="n">
        <v>68</v>
      </c>
      <c r="K5" s="3" t="s">
        <v>17</v>
      </c>
      <c r="L5" s="3" t="s">
        <v>42</v>
      </c>
      <c r="M5" s="3" t="s">
        <v>26</v>
      </c>
      <c r="N5" s="3" t="n">
        <v>0</v>
      </c>
      <c r="O5" s="3" t="n">
        <v>0</v>
      </c>
    </row>
    <row r="6" customFormat="false" ht="15" hidden="false" customHeight="false" outlineLevel="0" collapsed="false">
      <c r="A6" s="2" t="s">
        <v>43</v>
      </c>
      <c r="B6" s="2" t="s">
        <v>36</v>
      </c>
      <c r="C6" s="2" t="s">
        <v>44</v>
      </c>
      <c r="D6" s="2" t="s">
        <v>158</v>
      </c>
      <c r="E6" s="2" t="s">
        <v>159</v>
      </c>
      <c r="F6" s="2" t="n">
        <v>390000</v>
      </c>
      <c r="G6" s="2" t="s">
        <v>14</v>
      </c>
      <c r="H6" s="2" t="n">
        <v>4680</v>
      </c>
      <c r="I6" s="2" t="s">
        <v>15</v>
      </c>
      <c r="J6" s="2" t="n">
        <v>58</v>
      </c>
      <c r="K6" s="2" t="s">
        <v>17</v>
      </c>
      <c r="L6" s="2" t="s">
        <v>18</v>
      </c>
      <c r="M6" s="2" t="s">
        <v>19</v>
      </c>
      <c r="N6" s="2" t="n">
        <v>0</v>
      </c>
      <c r="O6" s="2" t="n">
        <v>0</v>
      </c>
    </row>
    <row r="7" customFormat="false" ht="15" hidden="false" customHeight="false" outlineLevel="0" collapsed="false">
      <c r="A7" s="3" t="s">
        <v>47</v>
      </c>
      <c r="B7" s="3" t="s">
        <v>36</v>
      </c>
      <c r="C7" s="3" t="s">
        <v>67</v>
      </c>
      <c r="D7" s="3" t="s">
        <v>160</v>
      </c>
      <c r="E7" s="3" t="s">
        <v>161</v>
      </c>
      <c r="F7" s="3" t="n">
        <v>275000</v>
      </c>
      <c r="G7" s="3" t="s">
        <v>14</v>
      </c>
      <c r="H7" s="3" t="n">
        <v>3300</v>
      </c>
      <c r="I7" s="3" t="s">
        <v>15</v>
      </c>
      <c r="J7" s="3" t="n">
        <v>64</v>
      </c>
      <c r="K7" s="3" t="s">
        <v>17</v>
      </c>
      <c r="L7" s="3" t="s">
        <v>50</v>
      </c>
      <c r="M7" s="3" t="s">
        <v>51</v>
      </c>
      <c r="N7" s="3" t="n">
        <v>0</v>
      </c>
      <c r="O7" s="3" t="n">
        <v>0</v>
      </c>
    </row>
    <row r="8" customFormat="false" ht="15" hidden="false" customHeight="false" outlineLevel="0" collapsed="false">
      <c r="A8" s="2" t="s">
        <v>52</v>
      </c>
      <c r="B8" s="2" t="s">
        <v>36</v>
      </c>
      <c r="C8" s="2" t="s">
        <v>44</v>
      </c>
      <c r="D8" s="2" t="s">
        <v>158</v>
      </c>
      <c r="E8" s="2" t="s">
        <v>159</v>
      </c>
      <c r="F8" s="2" t="n">
        <v>450000</v>
      </c>
      <c r="G8" s="2" t="s">
        <v>14</v>
      </c>
      <c r="H8" s="2" t="n">
        <v>5400</v>
      </c>
      <c r="I8" s="2" t="s">
        <v>55</v>
      </c>
      <c r="J8" s="2" t="n">
        <v>83</v>
      </c>
      <c r="K8" s="2" t="s">
        <v>17</v>
      </c>
      <c r="L8" s="2" t="s">
        <v>57</v>
      </c>
      <c r="M8" s="2" t="s">
        <v>26</v>
      </c>
      <c r="N8" s="4" t="n">
        <v>1</v>
      </c>
      <c r="O8" s="5" t="n">
        <v>1</v>
      </c>
    </row>
    <row r="9" customFormat="false" ht="15" hidden="false" customHeight="false" outlineLevel="0" collapsed="false">
      <c r="A9" s="3" t="s">
        <v>58</v>
      </c>
      <c r="B9" s="3" t="s">
        <v>59</v>
      </c>
      <c r="C9" s="3" t="s">
        <v>67</v>
      </c>
      <c r="D9" s="3" t="s">
        <v>160</v>
      </c>
      <c r="E9" s="3" t="s">
        <v>161</v>
      </c>
      <c r="F9" s="3" t="n">
        <v>340000</v>
      </c>
      <c r="G9" s="3" t="s">
        <v>14</v>
      </c>
      <c r="H9" s="3" t="n">
        <v>4114</v>
      </c>
      <c r="I9" s="3" t="s">
        <v>15</v>
      </c>
      <c r="J9" s="3" t="n">
        <v>59</v>
      </c>
      <c r="K9" s="3" t="s">
        <v>17</v>
      </c>
      <c r="L9" s="3" t="s">
        <v>62</v>
      </c>
      <c r="M9" s="3" t="s">
        <v>19</v>
      </c>
      <c r="N9" s="3" t="n">
        <v>0</v>
      </c>
      <c r="O9" s="3" t="n">
        <v>0</v>
      </c>
    </row>
    <row r="10" customFormat="false" ht="15" hidden="false" customHeight="false" outlineLevel="0" collapsed="false">
      <c r="A10" s="2" t="s">
        <v>63</v>
      </c>
      <c r="B10" s="2" t="s">
        <v>59</v>
      </c>
      <c r="C10" s="2" t="s">
        <v>44</v>
      </c>
      <c r="D10" s="2" t="s">
        <v>158</v>
      </c>
      <c r="E10" s="2" t="s">
        <v>159</v>
      </c>
      <c r="F10" s="2" t="n">
        <v>125000</v>
      </c>
      <c r="G10" s="2" t="s">
        <v>14</v>
      </c>
      <c r="H10" s="2" t="n">
        <v>1512.5</v>
      </c>
      <c r="I10" s="2" t="s">
        <v>15</v>
      </c>
      <c r="J10" s="2" t="n">
        <v>46</v>
      </c>
      <c r="K10" s="2" t="s">
        <v>17</v>
      </c>
      <c r="L10" s="2" t="s">
        <v>25</v>
      </c>
      <c r="M10" s="2" t="s">
        <v>51</v>
      </c>
      <c r="N10" s="2" t="n">
        <v>0</v>
      </c>
      <c r="O10" s="2" t="n">
        <v>0</v>
      </c>
    </row>
    <row r="11" customFormat="false" ht="15" hidden="false" customHeight="false" outlineLevel="0" collapsed="false">
      <c r="A11" s="3" t="s">
        <v>66</v>
      </c>
      <c r="B11" s="3" t="s">
        <v>59</v>
      </c>
      <c r="C11" s="3" t="s">
        <v>67</v>
      </c>
      <c r="D11" s="3" t="s">
        <v>160</v>
      </c>
      <c r="E11" s="3" t="s">
        <v>161</v>
      </c>
      <c r="F11" s="3" t="n">
        <v>610000</v>
      </c>
      <c r="G11" s="3" t="s">
        <v>14</v>
      </c>
      <c r="H11" s="3" t="n">
        <v>7381</v>
      </c>
      <c r="I11" s="3" t="s">
        <v>15</v>
      </c>
      <c r="J11" s="3" t="n">
        <v>77</v>
      </c>
      <c r="K11" s="3" t="s">
        <v>17</v>
      </c>
      <c r="L11" s="3" t="s">
        <v>33</v>
      </c>
      <c r="M11" s="3" t="s">
        <v>26</v>
      </c>
      <c r="N11" s="4" t="n">
        <v>1</v>
      </c>
      <c r="O11" s="5" t="n">
        <v>1</v>
      </c>
    </row>
    <row r="12" customFormat="false" ht="15" hidden="false" customHeight="false" outlineLevel="0" collapsed="false">
      <c r="A12" s="2" t="s">
        <v>70</v>
      </c>
      <c r="B12" s="2" t="s">
        <v>59</v>
      </c>
      <c r="C12" s="2" t="s">
        <v>44</v>
      </c>
      <c r="D12" s="2" t="s">
        <v>158</v>
      </c>
      <c r="E12" s="2" t="s">
        <v>159</v>
      </c>
      <c r="F12" s="2" t="n">
        <v>195000</v>
      </c>
      <c r="G12" s="2" t="s">
        <v>14</v>
      </c>
      <c r="H12" s="2" t="n">
        <v>2359.5</v>
      </c>
      <c r="I12" s="2" t="s">
        <v>162</v>
      </c>
      <c r="J12" s="2"/>
      <c r="K12" s="2" t="s">
        <v>17</v>
      </c>
      <c r="L12" s="2" t="s">
        <v>73</v>
      </c>
      <c r="M12" s="2" t="s">
        <v>19</v>
      </c>
      <c r="N12" s="2" t="n">
        <v>0</v>
      </c>
      <c r="O12" s="2" t="n">
        <v>0</v>
      </c>
    </row>
    <row r="13" customFormat="false" ht="15" hidden="false" customHeight="false" outlineLevel="0" collapsed="false">
      <c r="A13" s="3" t="s">
        <v>74</v>
      </c>
      <c r="B13" s="3" t="s">
        <v>75</v>
      </c>
      <c r="C13" s="3" t="s">
        <v>67</v>
      </c>
      <c r="D13" s="3" t="s">
        <v>160</v>
      </c>
      <c r="E13" s="3" t="s">
        <v>161</v>
      </c>
      <c r="F13" s="3" t="n">
        <v>250000</v>
      </c>
      <c r="G13" s="3" t="s">
        <v>14</v>
      </c>
      <c r="H13" s="3" t="n">
        <v>3000</v>
      </c>
      <c r="I13" s="3" t="s">
        <v>15</v>
      </c>
      <c r="J13" s="3" t="n">
        <v>61</v>
      </c>
      <c r="K13" s="3" t="s">
        <v>17</v>
      </c>
      <c r="L13" s="3" t="s">
        <v>79</v>
      </c>
      <c r="M13" s="3" t="s">
        <v>26</v>
      </c>
      <c r="N13" s="3" t="n">
        <v>0</v>
      </c>
      <c r="O13" s="3" t="n">
        <v>0</v>
      </c>
    </row>
    <row r="14" customFormat="false" ht="15" hidden="false" customHeight="false" outlineLevel="0" collapsed="false">
      <c r="A14" s="2" t="s">
        <v>80</v>
      </c>
      <c r="B14" s="2" t="s">
        <v>75</v>
      </c>
      <c r="C14" s="2" t="s">
        <v>44</v>
      </c>
      <c r="D14" s="2" t="s">
        <v>158</v>
      </c>
      <c r="E14" s="2" t="s">
        <v>159</v>
      </c>
      <c r="F14" s="2" t="n">
        <v>310000</v>
      </c>
      <c r="G14" s="2" t="s">
        <v>14</v>
      </c>
      <c r="H14" s="2" t="n">
        <v>3720</v>
      </c>
      <c r="I14" s="2" t="s">
        <v>15</v>
      </c>
      <c r="J14" s="2" t="n">
        <v>54</v>
      </c>
      <c r="K14" s="2" t="s">
        <v>17</v>
      </c>
      <c r="L14" s="2" t="s">
        <v>83</v>
      </c>
      <c r="M14" s="2" t="s">
        <v>19</v>
      </c>
      <c r="N14" s="2" t="n">
        <v>0</v>
      </c>
      <c r="O14" s="2" t="n">
        <v>0</v>
      </c>
    </row>
    <row r="15" customFormat="false" ht="15" hidden="false" customHeight="false" outlineLevel="0" collapsed="false">
      <c r="A15" s="3" t="s">
        <v>84</v>
      </c>
      <c r="B15" s="3" t="s">
        <v>75</v>
      </c>
      <c r="C15" s="3" t="s">
        <v>67</v>
      </c>
      <c r="D15" s="3" t="s">
        <v>160</v>
      </c>
      <c r="E15" s="3" t="s">
        <v>161</v>
      </c>
      <c r="F15" s="3" t="n">
        <v>470000</v>
      </c>
      <c r="G15" s="3" t="s">
        <v>14</v>
      </c>
      <c r="H15" s="3" t="n">
        <v>5640</v>
      </c>
      <c r="I15" s="3" t="s">
        <v>15</v>
      </c>
      <c r="J15" s="3" t="n">
        <v>73</v>
      </c>
      <c r="K15" s="3" t="s">
        <v>17</v>
      </c>
      <c r="L15" s="3" t="s">
        <v>18</v>
      </c>
      <c r="M15" s="3" t="s">
        <v>34</v>
      </c>
      <c r="N15" s="4" t="n">
        <v>1</v>
      </c>
      <c r="O15" s="5" t="n">
        <v>1</v>
      </c>
    </row>
    <row r="16" customFormat="false" ht="15" hidden="false" customHeight="false" outlineLevel="0" collapsed="false">
      <c r="A16" s="2" t="s">
        <v>87</v>
      </c>
      <c r="B16" s="2" t="s">
        <v>75</v>
      </c>
      <c r="C16" s="2" t="s">
        <v>44</v>
      </c>
      <c r="D16" s="2" t="s">
        <v>158</v>
      </c>
      <c r="E16" s="2" t="s">
        <v>159</v>
      </c>
      <c r="F16" s="2" t="n">
        <v>130000</v>
      </c>
      <c r="G16" s="2" t="s">
        <v>14</v>
      </c>
      <c r="H16" s="2" t="n">
        <v>1560</v>
      </c>
      <c r="I16" s="2" t="s">
        <v>15</v>
      </c>
      <c r="J16" s="2" t="n">
        <v>52</v>
      </c>
      <c r="K16" s="2" t="s">
        <v>17</v>
      </c>
      <c r="L16" s="2" t="s">
        <v>25</v>
      </c>
      <c r="M16" s="2" t="s">
        <v>26</v>
      </c>
      <c r="N16" s="2" t="n">
        <v>0</v>
      </c>
      <c r="O16" s="2" t="n">
        <v>0</v>
      </c>
    </row>
    <row r="17" customFormat="false" ht="15" hidden="false" customHeight="false" outlineLevel="0" collapsed="false">
      <c r="A17" s="3" t="s">
        <v>90</v>
      </c>
      <c r="B17" s="3" t="s">
        <v>91</v>
      </c>
      <c r="C17" s="3" t="s">
        <v>67</v>
      </c>
      <c r="D17" s="3" t="s">
        <v>160</v>
      </c>
      <c r="E17" s="3" t="s">
        <v>161</v>
      </c>
      <c r="F17" s="3" t="n">
        <v>220000</v>
      </c>
      <c r="G17" s="3" t="s">
        <v>14</v>
      </c>
      <c r="H17" s="3" t="n">
        <v>2596</v>
      </c>
      <c r="I17" s="3" t="s">
        <v>162</v>
      </c>
      <c r="J17" s="3" t="n">
        <v>69</v>
      </c>
      <c r="K17" s="3" t="s">
        <v>17</v>
      </c>
      <c r="L17" s="3" t="s">
        <v>73</v>
      </c>
      <c r="M17" s="3" t="s">
        <v>26</v>
      </c>
      <c r="N17" s="3" t="n">
        <v>0</v>
      </c>
      <c r="O17" s="3" t="n">
        <v>0</v>
      </c>
    </row>
    <row r="18" customFormat="false" ht="15" hidden="false" customHeight="false" outlineLevel="0" collapsed="false">
      <c r="A18" s="2" t="s">
        <v>95</v>
      </c>
      <c r="B18" s="2" t="s">
        <v>91</v>
      </c>
      <c r="C18" s="2" t="s">
        <v>67</v>
      </c>
      <c r="D18" s="2" t="s">
        <v>160</v>
      </c>
      <c r="E18" s="2" t="s">
        <v>161</v>
      </c>
      <c r="F18" s="2" t="n">
        <v>180000</v>
      </c>
      <c r="G18" s="2" t="s">
        <v>14</v>
      </c>
      <c r="H18" s="2" t="n">
        <v>2124</v>
      </c>
      <c r="I18" s="2" t="s">
        <v>162</v>
      </c>
      <c r="J18" s="2" t="n">
        <v>72</v>
      </c>
      <c r="K18" s="2" t="s">
        <v>17</v>
      </c>
      <c r="L18" s="2" t="s">
        <v>73</v>
      </c>
      <c r="M18" s="2" t="s">
        <v>26</v>
      </c>
      <c r="N18" s="2" t="n">
        <v>0</v>
      </c>
      <c r="O18" s="5" t="n">
        <v>1</v>
      </c>
    </row>
    <row r="19" customFormat="false" ht="15" hidden="false" customHeight="false" outlineLevel="0" collapsed="false">
      <c r="A19" s="3" t="s">
        <v>99</v>
      </c>
      <c r="B19" s="3" t="s">
        <v>91</v>
      </c>
      <c r="C19" s="3" t="s">
        <v>67</v>
      </c>
      <c r="D19" s="3" t="s">
        <v>160</v>
      </c>
      <c r="E19" s="3" t="s">
        <v>161</v>
      </c>
      <c r="F19" s="3" t="n">
        <v>145000</v>
      </c>
      <c r="G19" s="3" t="s">
        <v>14</v>
      </c>
      <c r="H19" s="3" t="n">
        <v>1711</v>
      </c>
      <c r="I19" s="3" t="s">
        <v>55</v>
      </c>
      <c r="J19" s="3" t="n">
        <v>86</v>
      </c>
      <c r="K19" s="3" t="s">
        <v>17</v>
      </c>
      <c r="L19" s="3" t="s">
        <v>73</v>
      </c>
      <c r="M19" s="3" t="s">
        <v>19</v>
      </c>
      <c r="N19" s="3" t="n">
        <v>0</v>
      </c>
      <c r="O19" s="5" t="n">
        <v>1</v>
      </c>
    </row>
    <row r="20" customFormat="false" ht="15" hidden="false" customHeight="false" outlineLevel="0" collapsed="false">
      <c r="A20" s="2" t="s">
        <v>103</v>
      </c>
      <c r="B20" s="2" t="s">
        <v>91</v>
      </c>
      <c r="C20" s="2" t="s">
        <v>44</v>
      </c>
      <c r="D20" s="2" t="s">
        <v>158</v>
      </c>
      <c r="E20" s="2" t="s">
        <v>159</v>
      </c>
      <c r="F20" s="2" t="n">
        <v>260000</v>
      </c>
      <c r="G20" s="2" t="s">
        <v>14</v>
      </c>
      <c r="H20" s="2" t="n">
        <v>3068</v>
      </c>
      <c r="I20" s="2" t="s">
        <v>162</v>
      </c>
      <c r="J20" s="2" t="n">
        <v>67</v>
      </c>
      <c r="K20" s="2" t="s">
        <v>17</v>
      </c>
      <c r="L20" s="2" t="s">
        <v>73</v>
      </c>
      <c r="M20" s="2" t="s">
        <v>51</v>
      </c>
      <c r="N20" s="2" t="n">
        <v>0</v>
      </c>
      <c r="O20" s="2" t="n">
        <v>0</v>
      </c>
    </row>
    <row r="21" customFormat="false" ht="15" hidden="false" customHeight="false" outlineLevel="0" collapsed="false">
      <c r="A21" s="3" t="s">
        <v>106</v>
      </c>
      <c r="B21" s="3" t="s">
        <v>91</v>
      </c>
      <c r="C21" s="3" t="s">
        <v>44</v>
      </c>
      <c r="D21" s="3" t="s">
        <v>158</v>
      </c>
      <c r="E21" s="3" t="s">
        <v>159</v>
      </c>
      <c r="F21" s="3" t="n">
        <v>520000</v>
      </c>
      <c r="G21" s="3" t="s">
        <v>14</v>
      </c>
      <c r="H21" s="3" t="n">
        <v>6136</v>
      </c>
      <c r="I21" s="3" t="s">
        <v>15</v>
      </c>
      <c r="J21" s="3" t="n">
        <v>75</v>
      </c>
      <c r="K21" s="3" t="s">
        <v>17</v>
      </c>
      <c r="L21" s="3" t="s">
        <v>50</v>
      </c>
      <c r="M21" s="3" t="s">
        <v>19</v>
      </c>
      <c r="N21" s="4" t="n">
        <v>1</v>
      </c>
      <c r="O21" s="5" t="n">
        <v>1</v>
      </c>
    </row>
    <row r="22" customFormat="false" ht="15" hidden="false" customHeight="false" outlineLevel="0" collapsed="false">
      <c r="A22" s="2" t="s">
        <v>109</v>
      </c>
      <c r="B22" s="2" t="s">
        <v>110</v>
      </c>
      <c r="C22" s="2" t="s">
        <v>67</v>
      </c>
      <c r="D22" s="2" t="s">
        <v>160</v>
      </c>
      <c r="E22" s="2" t="s">
        <v>161</v>
      </c>
      <c r="F22" s="2" t="n">
        <v>330000</v>
      </c>
      <c r="G22" s="2" t="s">
        <v>14</v>
      </c>
      <c r="H22" s="2" t="n">
        <v>3927</v>
      </c>
      <c r="I22" s="2" t="s">
        <v>15</v>
      </c>
      <c r="J22" s="2" t="n">
        <v>63</v>
      </c>
      <c r="K22" s="2" t="s">
        <v>17</v>
      </c>
      <c r="L22" s="2" t="s">
        <v>57</v>
      </c>
      <c r="M22" s="2" t="s">
        <v>26</v>
      </c>
      <c r="N22" s="2" t="n">
        <v>0</v>
      </c>
      <c r="O22" s="2" t="n">
        <v>0</v>
      </c>
    </row>
    <row r="23" customFormat="false" ht="15" hidden="false" customHeight="false" outlineLevel="0" collapsed="false">
      <c r="A23" s="3" t="s">
        <v>114</v>
      </c>
      <c r="B23" s="3" t="s">
        <v>110</v>
      </c>
      <c r="C23" s="3" t="s">
        <v>44</v>
      </c>
      <c r="D23" s="3" t="s">
        <v>158</v>
      </c>
      <c r="E23" s="3" t="s">
        <v>159</v>
      </c>
      <c r="F23" s="3" t="n">
        <v>410000</v>
      </c>
      <c r="G23" s="3" t="s">
        <v>14</v>
      </c>
      <c r="H23" s="3" t="n">
        <v>4879</v>
      </c>
      <c r="I23" s="3" t="s">
        <v>15</v>
      </c>
      <c r="J23" s="3" t="n">
        <v>60</v>
      </c>
      <c r="K23" s="3" t="s">
        <v>17</v>
      </c>
      <c r="L23" s="3" t="s">
        <v>62</v>
      </c>
      <c r="M23" s="3" t="s">
        <v>19</v>
      </c>
      <c r="N23" s="3" t="n">
        <v>0</v>
      </c>
      <c r="O23" s="3" t="n">
        <v>0</v>
      </c>
    </row>
    <row r="24" customFormat="false" ht="15" hidden="false" customHeight="false" outlineLevel="0" collapsed="false">
      <c r="A24" s="2" t="s">
        <v>117</v>
      </c>
      <c r="B24" s="2" t="s">
        <v>11</v>
      </c>
      <c r="C24" s="2" t="s">
        <v>118</v>
      </c>
      <c r="D24" s="2" t="s">
        <v>163</v>
      </c>
      <c r="E24" s="2" t="s">
        <v>164</v>
      </c>
      <c r="F24" s="2" t="n">
        <v>5200</v>
      </c>
      <c r="G24" s="2" t="s">
        <v>120</v>
      </c>
      <c r="H24" s="2" t="n">
        <v>5616</v>
      </c>
      <c r="I24" s="2" t="s">
        <v>15</v>
      </c>
      <c r="J24" s="2" t="n">
        <v>42</v>
      </c>
      <c r="K24" s="2" t="s">
        <v>127</v>
      </c>
      <c r="L24" s="2" t="s">
        <v>33</v>
      </c>
      <c r="M24" s="2" t="s">
        <v>26</v>
      </c>
      <c r="N24" s="2" t="n">
        <v>0</v>
      </c>
      <c r="O24" s="2" t="n">
        <v>0</v>
      </c>
    </row>
    <row r="25" customFormat="false" ht="15" hidden="false" customHeight="false" outlineLevel="0" collapsed="false">
      <c r="A25" s="3" t="s">
        <v>123</v>
      </c>
      <c r="B25" s="3" t="s">
        <v>36</v>
      </c>
      <c r="C25" s="3" t="s">
        <v>124</v>
      </c>
      <c r="D25" s="3" t="s">
        <v>165</v>
      </c>
      <c r="E25" s="3" t="s">
        <v>166</v>
      </c>
      <c r="F25" s="3" t="n">
        <v>6100</v>
      </c>
      <c r="G25" s="3" t="s">
        <v>120</v>
      </c>
      <c r="H25" s="3" t="n">
        <v>6649</v>
      </c>
      <c r="I25" s="3" t="s">
        <v>55</v>
      </c>
      <c r="J25" s="3" t="n">
        <v>65</v>
      </c>
      <c r="K25" s="3" t="s">
        <v>127</v>
      </c>
      <c r="L25" s="3" t="s">
        <v>42</v>
      </c>
      <c r="M25" s="3" t="s">
        <v>26</v>
      </c>
      <c r="N25" s="4" t="n">
        <v>1</v>
      </c>
      <c r="O25" s="5" t="n">
        <v>1</v>
      </c>
    </row>
    <row r="26" customFormat="false" ht="15" hidden="false" customHeight="false" outlineLevel="0" collapsed="false">
      <c r="A26" s="2" t="s">
        <v>128</v>
      </c>
      <c r="B26" s="2" t="s">
        <v>59</v>
      </c>
      <c r="C26" s="2" t="s">
        <v>118</v>
      </c>
      <c r="D26" s="2" t="s">
        <v>163</v>
      </c>
      <c r="E26" s="2" t="s">
        <v>164</v>
      </c>
      <c r="F26" s="2" t="n">
        <v>2800</v>
      </c>
      <c r="G26" s="2" t="s">
        <v>120</v>
      </c>
      <c r="H26" s="2" t="n">
        <v>3024</v>
      </c>
      <c r="I26" s="2" t="s">
        <v>15</v>
      </c>
      <c r="J26" s="2" t="n">
        <v>38</v>
      </c>
      <c r="K26" s="2" t="s">
        <v>127</v>
      </c>
      <c r="L26" s="2" t="s">
        <v>50</v>
      </c>
      <c r="M26" s="2" t="s">
        <v>51</v>
      </c>
      <c r="N26" s="2" t="n">
        <v>0</v>
      </c>
      <c r="O26" s="2" t="n">
        <v>0</v>
      </c>
    </row>
    <row r="27" customFormat="false" ht="15" hidden="false" customHeight="false" outlineLevel="0" collapsed="false">
      <c r="A27" s="3" t="s">
        <v>132</v>
      </c>
      <c r="B27" s="3" t="s">
        <v>91</v>
      </c>
      <c r="C27" s="3" t="s">
        <v>124</v>
      </c>
      <c r="D27" s="3" t="s">
        <v>165</v>
      </c>
      <c r="E27" s="3" t="s">
        <v>166</v>
      </c>
      <c r="F27" s="3" t="n">
        <v>3300</v>
      </c>
      <c r="G27" s="3" t="s">
        <v>120</v>
      </c>
      <c r="H27" s="3" t="n">
        <v>3597</v>
      </c>
      <c r="I27" s="3" t="s">
        <v>162</v>
      </c>
      <c r="J27" s="3" t="n">
        <v>44</v>
      </c>
      <c r="K27" s="3" t="s">
        <v>127</v>
      </c>
      <c r="L27" s="3" t="s">
        <v>57</v>
      </c>
      <c r="M27" s="3" t="s">
        <v>34</v>
      </c>
      <c r="N27" s="3" t="n">
        <v>0</v>
      </c>
      <c r="O27" s="3" t="n">
        <v>0</v>
      </c>
    </row>
    <row r="28" customFormat="false" ht="15" hidden="false" customHeight="false" outlineLevel="0" collapsed="false">
      <c r="A28" s="2" t="s">
        <v>135</v>
      </c>
      <c r="B28" s="2" t="s">
        <v>11</v>
      </c>
      <c r="C28" s="2" t="s">
        <v>142</v>
      </c>
      <c r="D28" s="2" t="s">
        <v>167</v>
      </c>
      <c r="E28" s="2" t="s">
        <v>168</v>
      </c>
      <c r="F28" s="2" t="n">
        <v>7200</v>
      </c>
      <c r="G28" s="2" t="s">
        <v>138</v>
      </c>
      <c r="H28" s="2" t="n">
        <v>7200</v>
      </c>
      <c r="I28" s="2" t="s">
        <v>15</v>
      </c>
      <c r="J28" s="2" t="n">
        <v>49</v>
      </c>
      <c r="K28" s="2" t="s">
        <v>145</v>
      </c>
      <c r="L28" s="2" t="s">
        <v>62</v>
      </c>
      <c r="M28" s="2" t="s">
        <v>26</v>
      </c>
      <c r="N28" s="4" t="n">
        <v>1</v>
      </c>
      <c r="O28" s="2" t="n">
        <v>0</v>
      </c>
    </row>
    <row r="29" customFormat="false" ht="15" hidden="false" customHeight="false" outlineLevel="0" collapsed="false">
      <c r="A29" s="3" t="s">
        <v>141</v>
      </c>
      <c r="B29" s="3" t="s">
        <v>36</v>
      </c>
      <c r="C29" s="3" t="s">
        <v>142</v>
      </c>
      <c r="D29" s="3" t="s">
        <v>167</v>
      </c>
      <c r="E29" s="3" t="s">
        <v>168</v>
      </c>
      <c r="F29" s="3" t="n">
        <v>3100</v>
      </c>
      <c r="G29" s="3" t="s">
        <v>138</v>
      </c>
      <c r="H29" s="3" t="n">
        <v>3100</v>
      </c>
      <c r="I29" s="3" t="s">
        <v>15</v>
      </c>
      <c r="J29" s="3" t="n">
        <v>41</v>
      </c>
      <c r="K29" s="3" t="s">
        <v>145</v>
      </c>
      <c r="L29" s="3" t="s">
        <v>73</v>
      </c>
      <c r="M29" s="3" t="s">
        <v>26</v>
      </c>
      <c r="N29" s="3" t="n">
        <v>0</v>
      </c>
      <c r="O29" s="3" t="n">
        <v>0</v>
      </c>
    </row>
    <row r="30" customFormat="false" ht="15" hidden="false" customHeight="false" outlineLevel="0" collapsed="false">
      <c r="A30" s="2" t="s">
        <v>146</v>
      </c>
      <c r="B30" s="2" t="s">
        <v>75</v>
      </c>
      <c r="C30" s="2" t="s">
        <v>142</v>
      </c>
      <c r="D30" s="2" t="s">
        <v>167</v>
      </c>
      <c r="E30" s="2" t="s">
        <v>168</v>
      </c>
      <c r="F30" s="2" t="n">
        <v>2500</v>
      </c>
      <c r="G30" s="2" t="s">
        <v>138</v>
      </c>
      <c r="H30" s="2" t="n">
        <v>2500</v>
      </c>
      <c r="I30" s="2" t="s">
        <v>55</v>
      </c>
      <c r="J30" s="2" t="n">
        <v>58</v>
      </c>
      <c r="K30" s="2" t="s">
        <v>145</v>
      </c>
      <c r="L30" s="2" t="s">
        <v>79</v>
      </c>
      <c r="M30" s="2" t="s">
        <v>51</v>
      </c>
      <c r="N30" s="2" t="n">
        <v>0</v>
      </c>
      <c r="O30" s="5" t="n">
        <v>1</v>
      </c>
    </row>
    <row r="31" customFormat="false" ht="15" hidden="false" customHeight="false" outlineLevel="0" collapsed="false">
      <c r="A31" s="3" t="s">
        <v>150</v>
      </c>
      <c r="B31" s="3" t="s">
        <v>110</v>
      </c>
      <c r="C31" s="3" t="s">
        <v>142</v>
      </c>
      <c r="D31" s="3" t="s">
        <v>167</v>
      </c>
      <c r="E31" s="3" t="s">
        <v>168</v>
      </c>
      <c r="F31" s="3" t="n">
        <v>1800</v>
      </c>
      <c r="G31" s="3" t="s">
        <v>138</v>
      </c>
      <c r="H31" s="3" t="n">
        <v>1800</v>
      </c>
      <c r="I31" s="3" t="s">
        <v>162</v>
      </c>
      <c r="J31" s="3" t="n">
        <v>47</v>
      </c>
      <c r="K31" s="3" t="s">
        <v>145</v>
      </c>
      <c r="L31" s="3" t="s">
        <v>83</v>
      </c>
      <c r="M31" s="3" t="s">
        <v>19</v>
      </c>
      <c r="N31" s="3" t="n">
        <v>0</v>
      </c>
      <c r="O31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1" t="s">
        <v>169</v>
      </c>
      <c r="B1" s="1" t="s">
        <v>4</v>
      </c>
      <c r="C1" s="1" t="s">
        <v>170</v>
      </c>
    </row>
    <row r="2" customFormat="false" ht="15" hidden="false" customHeight="false" outlineLevel="0" collapsed="false">
      <c r="A2" s="2" t="s">
        <v>11</v>
      </c>
      <c r="B2" s="2" t="s">
        <v>14</v>
      </c>
      <c r="C2" s="2" t="s">
        <v>171</v>
      </c>
    </row>
    <row r="3" customFormat="false" ht="15" hidden="false" customHeight="false" outlineLevel="0" collapsed="false">
      <c r="A3" s="3" t="s">
        <v>11</v>
      </c>
      <c r="B3" s="3" t="s">
        <v>120</v>
      </c>
      <c r="C3" s="3" t="s">
        <v>172</v>
      </c>
    </row>
    <row r="4" customFormat="false" ht="15" hidden="false" customHeight="false" outlineLevel="0" collapsed="false">
      <c r="A4" s="2" t="s">
        <v>11</v>
      </c>
      <c r="B4" s="2" t="s">
        <v>138</v>
      </c>
      <c r="C4" s="2" t="s">
        <v>173</v>
      </c>
    </row>
    <row r="5" customFormat="false" ht="15" hidden="false" customHeight="false" outlineLevel="0" collapsed="false">
      <c r="A5" s="3" t="s">
        <v>36</v>
      </c>
      <c r="B5" s="3" t="s">
        <v>14</v>
      </c>
      <c r="C5" s="3" t="s">
        <v>174</v>
      </c>
    </row>
    <row r="6" customFormat="false" ht="15" hidden="false" customHeight="false" outlineLevel="0" collapsed="false">
      <c r="A6" s="2" t="s">
        <v>36</v>
      </c>
      <c r="B6" s="2" t="s">
        <v>120</v>
      </c>
      <c r="C6" s="2" t="s">
        <v>175</v>
      </c>
    </row>
    <row r="7" customFormat="false" ht="15" hidden="false" customHeight="false" outlineLevel="0" collapsed="false">
      <c r="A7" s="3" t="s">
        <v>36</v>
      </c>
      <c r="B7" s="3" t="s">
        <v>138</v>
      </c>
      <c r="C7" s="3" t="s">
        <v>173</v>
      </c>
    </row>
    <row r="8" customFormat="false" ht="15" hidden="false" customHeight="false" outlineLevel="0" collapsed="false">
      <c r="A8" s="2" t="s">
        <v>59</v>
      </c>
      <c r="B8" s="2" t="s">
        <v>14</v>
      </c>
      <c r="C8" s="2" t="s">
        <v>176</v>
      </c>
    </row>
    <row r="9" customFormat="false" ht="15" hidden="false" customHeight="false" outlineLevel="0" collapsed="false">
      <c r="A9" s="3" t="s">
        <v>59</v>
      </c>
      <c r="B9" s="3" t="s">
        <v>120</v>
      </c>
      <c r="C9" s="3" t="s">
        <v>172</v>
      </c>
    </row>
    <row r="10" customFormat="false" ht="15" hidden="false" customHeight="false" outlineLevel="0" collapsed="false">
      <c r="A10" s="2" t="s">
        <v>59</v>
      </c>
      <c r="B10" s="2" t="s">
        <v>138</v>
      </c>
      <c r="C10" s="2" t="s">
        <v>173</v>
      </c>
    </row>
    <row r="11" customFormat="false" ht="15" hidden="false" customHeight="false" outlineLevel="0" collapsed="false">
      <c r="A11" s="3" t="s">
        <v>75</v>
      </c>
      <c r="B11" s="3" t="s">
        <v>14</v>
      </c>
      <c r="C11" s="3" t="s">
        <v>174</v>
      </c>
    </row>
    <row r="12" customFormat="false" ht="15" hidden="false" customHeight="false" outlineLevel="0" collapsed="false">
      <c r="A12" s="2" t="s">
        <v>75</v>
      </c>
      <c r="B12" s="2" t="s">
        <v>120</v>
      </c>
      <c r="C12" s="2" t="s">
        <v>177</v>
      </c>
    </row>
    <row r="13" customFormat="false" ht="15" hidden="false" customHeight="false" outlineLevel="0" collapsed="false">
      <c r="A13" s="3" t="s">
        <v>75</v>
      </c>
      <c r="B13" s="3" t="s">
        <v>138</v>
      </c>
      <c r="C13" s="3" t="s">
        <v>173</v>
      </c>
    </row>
    <row r="14" customFormat="false" ht="15" hidden="false" customHeight="false" outlineLevel="0" collapsed="false">
      <c r="A14" s="2" t="s">
        <v>91</v>
      </c>
      <c r="B14" s="2" t="s">
        <v>14</v>
      </c>
      <c r="C14" s="2" t="s">
        <v>178</v>
      </c>
    </row>
    <row r="15" customFormat="false" ht="15" hidden="false" customHeight="false" outlineLevel="0" collapsed="false">
      <c r="A15" s="3" t="s">
        <v>91</v>
      </c>
      <c r="B15" s="3" t="s">
        <v>120</v>
      </c>
      <c r="C15" s="3" t="s">
        <v>175</v>
      </c>
    </row>
    <row r="16" customFormat="false" ht="15" hidden="false" customHeight="false" outlineLevel="0" collapsed="false">
      <c r="A16" s="2" t="s">
        <v>91</v>
      </c>
      <c r="B16" s="2" t="s">
        <v>138</v>
      </c>
      <c r="C16" s="2" t="s">
        <v>173</v>
      </c>
    </row>
    <row r="17" customFormat="false" ht="15" hidden="false" customHeight="false" outlineLevel="0" collapsed="false">
      <c r="A17" s="3" t="s">
        <v>110</v>
      </c>
      <c r="B17" s="3" t="s">
        <v>14</v>
      </c>
      <c r="C17" s="3" t="s">
        <v>171</v>
      </c>
    </row>
    <row r="18" customFormat="false" ht="15" hidden="false" customHeight="false" outlineLevel="0" collapsed="false">
      <c r="A18" s="2" t="s">
        <v>110</v>
      </c>
      <c r="B18" s="2" t="s">
        <v>120</v>
      </c>
      <c r="C18" s="2" t="s">
        <v>172</v>
      </c>
    </row>
    <row r="19" customFormat="false" ht="15" hidden="false" customHeight="false" outlineLevel="0" collapsed="false">
      <c r="A19" s="3" t="s">
        <v>110</v>
      </c>
      <c r="B19" s="3" t="s">
        <v>138</v>
      </c>
      <c r="C19" s="3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153</v>
      </c>
      <c r="B1" s="1" t="s">
        <v>2</v>
      </c>
      <c r="C1" s="1" t="s">
        <v>179</v>
      </c>
      <c r="D1" s="1" t="s">
        <v>154</v>
      </c>
      <c r="E1" s="1" t="s">
        <v>180</v>
      </c>
    </row>
    <row r="2" customFormat="false" ht="15" hidden="false" customHeight="false" outlineLevel="0" collapsed="false">
      <c r="A2" s="2" t="s">
        <v>158</v>
      </c>
      <c r="B2" s="2" t="s">
        <v>44</v>
      </c>
      <c r="C2" s="2" t="s">
        <v>181</v>
      </c>
      <c r="D2" s="2" t="s">
        <v>159</v>
      </c>
      <c r="E2" s="2" t="s">
        <v>17</v>
      </c>
    </row>
    <row r="3" customFormat="false" ht="15" hidden="false" customHeight="false" outlineLevel="0" collapsed="false">
      <c r="A3" s="3" t="s">
        <v>160</v>
      </c>
      <c r="B3" s="3" t="s">
        <v>67</v>
      </c>
      <c r="C3" s="3" t="s">
        <v>182</v>
      </c>
      <c r="D3" s="3" t="s">
        <v>161</v>
      </c>
      <c r="E3" s="3" t="s">
        <v>17</v>
      </c>
    </row>
    <row r="4" customFormat="false" ht="15" hidden="false" customHeight="false" outlineLevel="0" collapsed="false">
      <c r="A4" s="2" t="s">
        <v>163</v>
      </c>
      <c r="B4" s="2" t="s">
        <v>118</v>
      </c>
      <c r="C4" s="2" t="s">
        <v>183</v>
      </c>
      <c r="D4" s="2" t="s">
        <v>164</v>
      </c>
      <c r="E4" s="2" t="s">
        <v>127</v>
      </c>
    </row>
    <row r="5" customFormat="false" ht="15" hidden="false" customHeight="false" outlineLevel="0" collapsed="false">
      <c r="A5" s="3" t="s">
        <v>167</v>
      </c>
      <c r="B5" s="3" t="s">
        <v>142</v>
      </c>
      <c r="C5" s="3" t="s">
        <v>184</v>
      </c>
      <c r="D5" s="3" t="s">
        <v>168</v>
      </c>
      <c r="E5" s="3" t="s">
        <v>145</v>
      </c>
    </row>
    <row r="6" customFormat="false" ht="15" hidden="false" customHeight="false" outlineLevel="0" collapsed="false">
      <c r="A6" s="2" t="s">
        <v>165</v>
      </c>
      <c r="B6" s="2" t="s">
        <v>124</v>
      </c>
      <c r="C6" s="2" t="s">
        <v>185</v>
      </c>
      <c r="D6" s="2" t="s">
        <v>166</v>
      </c>
      <c r="E6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8" min="7" style="0" width="18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18"/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1" t="s">
        <v>2</v>
      </c>
      <c r="B1" s="1" t="s">
        <v>153</v>
      </c>
      <c r="C1" s="1" t="s">
        <v>154</v>
      </c>
      <c r="D1" s="1" t="s">
        <v>180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</row>
    <row r="2" customFormat="false" ht="15" hidden="false" customHeight="false" outlineLevel="0" collapsed="false">
      <c r="A2" s="2" t="s">
        <v>44</v>
      </c>
      <c r="B2" s="2" t="s">
        <v>158</v>
      </c>
      <c r="C2" s="2" t="s">
        <v>159</v>
      </c>
      <c r="D2" s="2" t="s">
        <v>17</v>
      </c>
      <c r="E2" s="2" t="n">
        <v>11</v>
      </c>
      <c r="F2" s="2" t="n">
        <v>40812</v>
      </c>
      <c r="G2" s="2" t="n">
        <v>29984.5</v>
      </c>
      <c r="H2" s="2" t="n">
        <v>1</v>
      </c>
      <c r="I2" s="2" t="n">
        <v>2</v>
      </c>
      <c r="J2" s="2" t="n">
        <v>61.2</v>
      </c>
      <c r="K2" s="2" t="n">
        <v>2</v>
      </c>
      <c r="L2" s="2" t="n">
        <v>2</v>
      </c>
      <c r="M2" s="2" t="n">
        <v>9.09</v>
      </c>
    </row>
    <row r="3" customFormat="false" ht="15" hidden="false" customHeight="false" outlineLevel="0" collapsed="false">
      <c r="A3" s="3" t="s">
        <v>67</v>
      </c>
      <c r="B3" s="3" t="s">
        <v>160</v>
      </c>
      <c r="C3" s="3" t="s">
        <v>161</v>
      </c>
      <c r="D3" s="3" t="s">
        <v>17</v>
      </c>
      <c r="E3" s="3" t="n">
        <v>11</v>
      </c>
      <c r="F3" s="3" t="n">
        <v>41782</v>
      </c>
      <c r="G3" s="3" t="n">
        <v>33431</v>
      </c>
      <c r="H3" s="3" t="n">
        <v>1</v>
      </c>
      <c r="I3" s="3" t="n">
        <v>3</v>
      </c>
      <c r="J3" s="3" t="n">
        <v>69.36</v>
      </c>
      <c r="K3" s="3" t="n">
        <v>5</v>
      </c>
      <c r="L3" s="3" t="n">
        <v>3</v>
      </c>
      <c r="M3" s="3" t="n">
        <v>9.09</v>
      </c>
    </row>
    <row r="4" customFormat="false" ht="15" hidden="false" customHeight="false" outlineLevel="0" collapsed="false">
      <c r="A4" s="2" t="s">
        <v>118</v>
      </c>
      <c r="B4" s="2" t="s">
        <v>163</v>
      </c>
      <c r="C4" s="2" t="s">
        <v>164</v>
      </c>
      <c r="D4" s="2" t="s">
        <v>127</v>
      </c>
      <c r="E4" s="2" t="n">
        <v>2</v>
      </c>
      <c r="F4" s="2" t="n">
        <v>8640</v>
      </c>
      <c r="G4" s="2" t="n">
        <v>8640</v>
      </c>
      <c r="H4" s="2" t="n">
        <v>0</v>
      </c>
      <c r="I4" s="2" t="n">
        <v>0</v>
      </c>
      <c r="J4" s="2" t="n">
        <v>40</v>
      </c>
      <c r="K4" s="2" t="n">
        <v>0</v>
      </c>
      <c r="L4" s="2" t="n">
        <v>0</v>
      </c>
      <c r="M4" s="2" t="n">
        <v>0</v>
      </c>
    </row>
    <row r="5" customFormat="false" ht="15" hidden="false" customHeight="false" outlineLevel="0" collapsed="false">
      <c r="A5" s="3" t="s">
        <v>142</v>
      </c>
      <c r="B5" s="3" t="s">
        <v>167</v>
      </c>
      <c r="C5" s="3" t="s">
        <v>168</v>
      </c>
      <c r="D5" s="3" t="s">
        <v>145</v>
      </c>
      <c r="E5" s="3" t="n">
        <v>4</v>
      </c>
      <c r="F5" s="3" t="n">
        <v>14600</v>
      </c>
      <c r="G5" s="3" t="n">
        <v>10300</v>
      </c>
      <c r="H5" s="3" t="n">
        <v>1</v>
      </c>
      <c r="I5" s="3" t="n">
        <v>1</v>
      </c>
      <c r="J5" s="3" t="n">
        <v>48.75</v>
      </c>
      <c r="K5" s="3" t="n">
        <v>1</v>
      </c>
      <c r="L5" s="3" t="n">
        <v>1</v>
      </c>
      <c r="M5" s="3" t="n">
        <v>25</v>
      </c>
    </row>
    <row r="6" customFormat="false" ht="15" hidden="false" customHeight="false" outlineLevel="0" collapsed="false">
      <c r="A6" s="2" t="s">
        <v>124</v>
      </c>
      <c r="B6" s="2" t="s">
        <v>165</v>
      </c>
      <c r="C6" s="2" t="s">
        <v>166</v>
      </c>
      <c r="D6" s="2" t="s">
        <v>127</v>
      </c>
      <c r="E6" s="2" t="n">
        <v>2</v>
      </c>
      <c r="F6" s="2" t="n">
        <v>10246</v>
      </c>
      <c r="G6" s="2" t="n">
        <v>0</v>
      </c>
      <c r="H6" s="2" t="n">
        <v>1</v>
      </c>
      <c r="I6" s="2" t="n">
        <v>1</v>
      </c>
      <c r="J6" s="2" t="n">
        <v>54.5</v>
      </c>
      <c r="K6" s="2" t="n">
        <v>1</v>
      </c>
      <c r="L6" s="2" t="n">
        <v>1</v>
      </c>
      <c r="M6" s="2" t="n">
        <v>50</v>
      </c>
    </row>
    <row r="7" customFormat="false" ht="15" hidden="false" customHeight="false" outlineLevel="0" collapsed="false">
      <c r="A7" s="6" t="s">
        <v>195</v>
      </c>
      <c r="E7" s="7" t="n">
        <f aca="false">SUM(E2:E6)</f>
        <v>30</v>
      </c>
      <c r="F7" s="7" t="n">
        <f aca="false">SUM(F2:F6)</f>
        <v>116080</v>
      </c>
      <c r="G7" s="7" t="n">
        <f aca="false">SUM(G2:G6)</f>
        <v>82355.5</v>
      </c>
      <c r="H7" s="7" t="n">
        <f aca="false">SUM(H2:H6)</f>
        <v>4</v>
      </c>
      <c r="I7" s="7" t="n">
        <f aca="false">SUM(I2:I6)</f>
        <v>7</v>
      </c>
      <c r="K7" s="7" t="n">
        <f aca="false">SUM(K2:K6)</f>
        <v>9</v>
      </c>
      <c r="L7" s="7" t="n">
        <f aca="false">SUM(L2:L6)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8" t="s">
        <v>196</v>
      </c>
      <c r="B1" s="8"/>
      <c r="C1" s="8"/>
    </row>
    <row r="3" customFormat="false" ht="15" hidden="false" customHeight="false" outlineLevel="0" collapsed="false">
      <c r="A3" s="9" t="s">
        <v>197</v>
      </c>
      <c r="B3" s="9" t="s">
        <v>198</v>
      </c>
    </row>
    <row r="4" customFormat="false" ht="15" hidden="false" customHeight="false" outlineLevel="0" collapsed="false">
      <c r="A4" s="10" t="s">
        <v>199</v>
      </c>
      <c r="B4" s="10" t="n">
        <v>30</v>
      </c>
    </row>
    <row r="5" customFormat="false" ht="15" hidden="false" customHeight="false" outlineLevel="0" collapsed="false">
      <c r="A5" s="11" t="s">
        <v>200</v>
      </c>
      <c r="B5" s="11" t="n">
        <v>30</v>
      </c>
    </row>
    <row r="6" customFormat="false" ht="15" hidden="false" customHeight="false" outlineLevel="0" collapsed="false">
      <c r="A6" s="10" t="s">
        <v>201</v>
      </c>
      <c r="B6" s="10" t="n">
        <v>1</v>
      </c>
    </row>
    <row r="7" customFormat="false" ht="15" hidden="false" customHeight="false" outlineLevel="0" collapsed="false">
      <c r="A7" s="11" t="s">
        <v>202</v>
      </c>
      <c r="B7" s="11" t="n">
        <v>116080</v>
      </c>
    </row>
    <row r="8" customFormat="false" ht="15" hidden="false" customHeight="false" outlineLevel="0" collapsed="false">
      <c r="A8" s="10" t="s">
        <v>203</v>
      </c>
      <c r="B8" s="10" t="n">
        <v>82355.5</v>
      </c>
    </row>
    <row r="9" customFormat="false" ht="15" hidden="false" customHeight="false" outlineLevel="0" collapsed="false">
      <c r="A9" s="11" t="s">
        <v>204</v>
      </c>
      <c r="B9" s="11" t="s">
        <v>17</v>
      </c>
    </row>
    <row r="10" customFormat="false" ht="15" hidden="false" customHeight="false" outlineLevel="0" collapsed="false">
      <c r="A10" s="10" t="s">
        <v>205</v>
      </c>
      <c r="B10" s="10" t="n">
        <v>82594</v>
      </c>
    </row>
    <row r="11" customFormat="false" ht="15" hidden="false" customHeight="false" outlineLevel="0" collapsed="false">
      <c r="A11" s="11" t="s">
        <v>206</v>
      </c>
      <c r="B11" s="11" t="n">
        <v>7</v>
      </c>
    </row>
    <row r="12" customFormat="false" ht="15" hidden="false" customHeight="false" outlineLevel="0" collapsed="false">
      <c r="A12" s="10" t="s">
        <v>207</v>
      </c>
      <c r="B12" s="10" t="n">
        <v>9</v>
      </c>
    </row>
    <row r="13" customFormat="false" ht="15" hidden="false" customHeight="false" outlineLevel="0" collapsed="false">
      <c r="A13" s="11" t="s">
        <v>208</v>
      </c>
      <c r="B13" s="11" t="s">
        <v>67</v>
      </c>
    </row>
    <row r="14" customFormat="false" ht="15" hidden="false" customHeight="false" outlineLevel="0" collapsed="false">
      <c r="A14" s="10" t="s">
        <v>209</v>
      </c>
      <c r="B14" s="10" t="n">
        <v>33431</v>
      </c>
    </row>
    <row r="15" customFormat="false" ht="15" hidden="false" customHeight="false" outlineLevel="0" collapsed="false">
      <c r="A15" s="11" t="s">
        <v>210</v>
      </c>
      <c r="B15" s="11" t="n">
        <v>19</v>
      </c>
    </row>
    <row r="16" customFormat="false" ht="15" hidden="false" customHeight="false" outlineLevel="0" collapsed="false">
      <c r="A16" s="10" t="s">
        <v>211</v>
      </c>
      <c r="B16" s="10" t="n">
        <v>7</v>
      </c>
    </row>
    <row r="17" customFormat="false" ht="15" hidden="false" customHeight="false" outlineLevel="0" collapsed="false">
      <c r="A17" s="11" t="s">
        <v>212</v>
      </c>
      <c r="B17" s="11" t="n">
        <v>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2026-05-05T11:40:00Z</dcterms:created>
  <dc:creator>openpyxl</dc:creator>
  <dc:description/>
  <dc:language>en-US</dc:language>
  <cp:lastModifiedBy/>
  <dcterms:modified xsi:type="dcterms:W3CDTF">2026-05-05T11:40:00Z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